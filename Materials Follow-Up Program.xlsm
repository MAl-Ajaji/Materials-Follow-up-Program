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lajaji\Desktop\Excel\"/>
    </mc:Choice>
  </mc:AlternateContent>
  <bookViews>
    <workbookView xWindow="0" yWindow="0" windowWidth="10515" windowHeight="7260" tabRatio="586"/>
  </bookViews>
  <sheets>
    <sheet name="Sheet1" sheetId="1" r:id="rId1"/>
  </sheets>
  <calcPr calcId="152511" iterate="1"/>
  <customWorkbookViews>
    <customWorkbookView name="Mohammed Ali - Personal View" guid="{3F2C4E56-857C-4306-9A0F-8C914DE30806}" mergeInterval="0" personalView="1" maximized="1" xWindow="-9" yWindow="-9" windowWidth="1938" windowHeight="1048" activeSheetId="1"/>
  </customWorkbookViews>
</workbook>
</file>

<file path=xl/calcChain.xml><?xml version="1.0" encoding="utf-8"?>
<calcChain xmlns="http://schemas.openxmlformats.org/spreadsheetml/2006/main">
  <c r="AC21" i="1" l="1"/>
  <c r="J20" i="1"/>
  <c r="T17" i="1"/>
  <c r="J17" i="1"/>
  <c r="T16" i="1"/>
  <c r="J16" i="1"/>
  <c r="J12" i="1"/>
  <c r="J7" i="1" l="1"/>
  <c r="J6" i="1"/>
</calcChain>
</file>

<file path=xl/sharedStrings.xml><?xml version="1.0" encoding="utf-8"?>
<sst xmlns="http://schemas.openxmlformats.org/spreadsheetml/2006/main" count="214" uniqueCount="92">
  <si>
    <t>SR. No.</t>
  </si>
  <si>
    <t>Enq. No.</t>
  </si>
  <si>
    <t xml:space="preserve">Material Description </t>
  </si>
  <si>
    <t>Supplier</t>
  </si>
  <si>
    <t>M.R.D</t>
  </si>
  <si>
    <t>Materials Ready</t>
  </si>
  <si>
    <t>Remarks</t>
  </si>
  <si>
    <t>PO No.</t>
  </si>
  <si>
    <t>Carrier No.</t>
  </si>
  <si>
    <t>Carrier Name</t>
  </si>
  <si>
    <t>E.T.S Date</t>
  </si>
  <si>
    <t>E.T.A Date</t>
  </si>
  <si>
    <t>Supplier No.</t>
  </si>
  <si>
    <t>Country</t>
  </si>
  <si>
    <t>Measurement mm</t>
  </si>
  <si>
    <t>Weight Kg</t>
  </si>
  <si>
    <t>Delivery Terms</t>
  </si>
  <si>
    <t>KSA Port Name</t>
  </si>
  <si>
    <t>Material In KSA Port</t>
  </si>
  <si>
    <t>B/L</t>
  </si>
  <si>
    <t>D.R Date</t>
  </si>
  <si>
    <t>Spare Parts</t>
  </si>
  <si>
    <t>Germany</t>
  </si>
  <si>
    <t>V-Line</t>
  </si>
  <si>
    <t>No</t>
  </si>
  <si>
    <t>Customs Fees</t>
  </si>
  <si>
    <t>Job No.</t>
  </si>
  <si>
    <t>Byan No.</t>
  </si>
  <si>
    <t>Under Deposit</t>
  </si>
  <si>
    <t>Refund</t>
  </si>
  <si>
    <t>Demurrage</t>
  </si>
  <si>
    <t>Delivery Time to QCC</t>
  </si>
  <si>
    <t>Materials Received</t>
  </si>
  <si>
    <t>GRN No.</t>
  </si>
  <si>
    <t>Status</t>
  </si>
  <si>
    <t>Need More Info.</t>
  </si>
  <si>
    <t>Envita</t>
  </si>
  <si>
    <t>It is Okay</t>
  </si>
  <si>
    <t>Hans Albert</t>
  </si>
  <si>
    <t xml:space="preserve">With Certificate </t>
  </si>
  <si>
    <t>Aquarius</t>
  </si>
  <si>
    <t>XWORK</t>
  </si>
  <si>
    <t>CemTech</t>
  </si>
  <si>
    <t>Alan</t>
  </si>
  <si>
    <t>UK</t>
  </si>
  <si>
    <t>Contact Supplier</t>
  </si>
  <si>
    <t>Synergy</t>
  </si>
  <si>
    <t>UAE</t>
  </si>
  <si>
    <t>By road</t>
  </si>
  <si>
    <t>Mercury</t>
  </si>
  <si>
    <t>Japan</t>
  </si>
  <si>
    <t>Alright</t>
  </si>
  <si>
    <t>FLS</t>
  </si>
  <si>
    <t>Swiss</t>
  </si>
  <si>
    <t>By Sea</t>
  </si>
  <si>
    <t>UBE</t>
  </si>
  <si>
    <t>By Air</t>
  </si>
  <si>
    <t>Sun Mach.</t>
  </si>
  <si>
    <t>Yes</t>
  </si>
  <si>
    <t>Bertling</t>
  </si>
  <si>
    <t>JED</t>
  </si>
  <si>
    <t>Okay</t>
  </si>
  <si>
    <t>DHL</t>
  </si>
  <si>
    <t>DDP</t>
  </si>
  <si>
    <t>Qassim</t>
  </si>
  <si>
    <t>No need CC</t>
  </si>
  <si>
    <t>Dammam</t>
  </si>
  <si>
    <t>by Sea</t>
  </si>
  <si>
    <t>FedEX</t>
  </si>
  <si>
    <t>FCA</t>
  </si>
  <si>
    <t xml:space="preserve">Qassim </t>
  </si>
  <si>
    <t>Payment Date</t>
  </si>
  <si>
    <t>Qassim Airport</t>
  </si>
  <si>
    <t>XW</t>
  </si>
  <si>
    <t>JED Port</t>
  </si>
  <si>
    <t>Done</t>
  </si>
  <si>
    <t>it is okay</t>
  </si>
  <si>
    <t xml:space="preserve">V-line </t>
  </si>
  <si>
    <t>By sea</t>
  </si>
  <si>
    <t>FOB</t>
  </si>
  <si>
    <t>V-line</t>
  </si>
  <si>
    <t>All Materials</t>
  </si>
  <si>
    <t>Asset</t>
  </si>
  <si>
    <t>ABB</t>
  </si>
  <si>
    <t>Switzerland</t>
  </si>
  <si>
    <t>With Certificate</t>
  </si>
  <si>
    <t>Bahrain</t>
  </si>
  <si>
    <t>By Road</t>
  </si>
  <si>
    <t>XWork</t>
  </si>
  <si>
    <t>49459*</t>
  </si>
  <si>
    <t>Ok</t>
  </si>
  <si>
    <t>Rejected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</si>
</sst>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_-* #,##0.00\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1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</cellXfs>
  <cellStyles count="2">
    <cellStyle name="Comma 2" xfId="1"/>
    <cellStyle name="Normal" xfId="0" builtinId="0"/>
  </cellStyles>
  <dxfs count="0"/>
  <tableStyles count="0" defaultTableStyle="TableStyleMedium2" defaultPivotStyle="PivotStyleLight16"/>
  <colors>
    <mruColors>
      <color rgb="FF00823B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</xdr:rowOff>
    </xdr:from>
    <xdr:to>
      <xdr:col>3</xdr:col>
      <xdr:colOff>1051560</xdr:colOff>
      <xdr:row>1</xdr:row>
      <xdr:rowOff>169545</xdr:rowOff>
    </xdr:to>
    <xdr:sp macro="[0]!Pro" textlink="">
      <xdr:nvSpPr>
        <xdr:cNvPr id="3" name="Rectangle 2"/>
        <xdr:cNvSpPr/>
      </xdr:nvSpPr>
      <xdr:spPr>
        <a:xfrm>
          <a:off x="0" y="7620"/>
          <a:ext cx="2880360" cy="352425"/>
        </a:xfrm>
        <a:prstGeom prst="rect">
          <a:avLst/>
        </a:prstGeom>
        <a:solidFill>
          <a:srgbClr val="B45608"/>
        </a:solidFill>
        <a:ln>
          <a:solidFill>
            <a:srgbClr val="B45608"/>
          </a:solidFill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>
                  <a:lumMod val="95000"/>
                  <a:lumOff val="5000"/>
                </a:schemeClr>
              </a:solidFill>
            </a:rPr>
            <a:t>New</a:t>
          </a:r>
        </a:p>
      </xdr:txBody>
    </xdr:sp>
    <xdr:clientData/>
  </xdr:twoCellAnchor>
  <xdr:twoCellAnchor>
    <xdr:from>
      <xdr:col>3</xdr:col>
      <xdr:colOff>1082040</xdr:colOff>
      <xdr:row>0</xdr:row>
      <xdr:rowOff>17145</xdr:rowOff>
    </xdr:from>
    <xdr:to>
      <xdr:col>5</xdr:col>
      <xdr:colOff>1318260</xdr:colOff>
      <xdr:row>1</xdr:row>
      <xdr:rowOff>179070</xdr:rowOff>
    </xdr:to>
    <xdr:sp macro="[0]!Ref" textlink="">
      <xdr:nvSpPr>
        <xdr:cNvPr id="4" name="Rectangle 3"/>
        <xdr:cNvSpPr/>
      </xdr:nvSpPr>
      <xdr:spPr>
        <a:xfrm>
          <a:off x="2910840" y="17145"/>
          <a:ext cx="2503170" cy="352425"/>
        </a:xfrm>
        <a:prstGeom prst="rect">
          <a:avLst/>
        </a:prstGeom>
        <a:solidFill>
          <a:srgbClr val="FF99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>
              <a:solidFill>
                <a:sysClr val="windowText" lastClr="000000"/>
              </a:solidFill>
              <a:latin typeface="Arial Rounded MT Bold" pitchFamily="34" charset="0"/>
            </a:rPr>
            <a:t>SUPPLIER</a:t>
          </a:r>
        </a:p>
      </xdr:txBody>
    </xdr:sp>
    <xdr:clientData/>
  </xdr:twoCellAnchor>
  <xdr:twoCellAnchor>
    <xdr:from>
      <xdr:col>11</xdr:col>
      <xdr:colOff>904876</xdr:colOff>
      <xdr:row>0</xdr:row>
      <xdr:rowOff>7620</xdr:rowOff>
    </xdr:from>
    <xdr:to>
      <xdr:col>12</xdr:col>
      <xdr:colOff>1905</xdr:colOff>
      <xdr:row>1</xdr:row>
      <xdr:rowOff>169545</xdr:rowOff>
    </xdr:to>
    <xdr:sp macro="[0]!_xludf.Find" textlink="">
      <xdr:nvSpPr>
        <xdr:cNvPr id="6" name="Rectangle 5"/>
        <xdr:cNvSpPr/>
      </xdr:nvSpPr>
      <xdr:spPr>
        <a:xfrm>
          <a:off x="10496551" y="7620"/>
          <a:ext cx="2764154" cy="352425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rgbClr val="B45608"/>
          </a:solidFill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>
                  <a:lumMod val="95000"/>
                  <a:lumOff val="5000"/>
                </a:schemeClr>
              </a:solidFill>
            </a:rPr>
            <a:t>Find</a:t>
          </a:r>
        </a:p>
      </xdr:txBody>
    </xdr:sp>
    <xdr:clientData/>
  </xdr:twoCellAnchor>
  <xdr:twoCellAnchor>
    <xdr:from>
      <xdr:col>5</xdr:col>
      <xdr:colOff>1318260</xdr:colOff>
      <xdr:row>0</xdr:row>
      <xdr:rowOff>17145</xdr:rowOff>
    </xdr:from>
    <xdr:to>
      <xdr:col>8</xdr:col>
      <xdr:colOff>809625</xdr:colOff>
      <xdr:row>1</xdr:row>
      <xdr:rowOff>179070</xdr:rowOff>
    </xdr:to>
    <xdr:sp macro="[0]!Forwarder" textlink="">
      <xdr:nvSpPr>
        <xdr:cNvPr id="11" name="Rectangle 10"/>
        <xdr:cNvSpPr/>
      </xdr:nvSpPr>
      <xdr:spPr>
        <a:xfrm>
          <a:off x="5414010" y="17145"/>
          <a:ext cx="2634615" cy="352425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>
          <a:solidFill>
            <a:srgbClr val="FFFF00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>
              <a:solidFill>
                <a:sysClr val="windowText" lastClr="000000"/>
              </a:solidFill>
              <a:latin typeface="Arial Rounded MT Bold" pitchFamily="34" charset="0"/>
            </a:rPr>
            <a:t>Forwarder</a:t>
          </a:r>
        </a:p>
      </xdr:txBody>
    </xdr:sp>
    <xdr:clientData/>
  </xdr:twoCellAnchor>
  <xdr:twoCellAnchor>
    <xdr:from>
      <xdr:col>8</xdr:col>
      <xdr:colOff>840105</xdr:colOff>
      <xdr:row>0</xdr:row>
      <xdr:rowOff>17145</xdr:rowOff>
    </xdr:from>
    <xdr:to>
      <xdr:col>11</xdr:col>
      <xdr:colOff>891540</xdr:colOff>
      <xdr:row>1</xdr:row>
      <xdr:rowOff>179070</xdr:rowOff>
    </xdr:to>
    <xdr:sp macro="[0]!CCQCC" textlink="">
      <xdr:nvSpPr>
        <xdr:cNvPr id="12" name="Rectangle 11"/>
        <xdr:cNvSpPr/>
      </xdr:nvSpPr>
      <xdr:spPr>
        <a:xfrm>
          <a:off x="8079105" y="17145"/>
          <a:ext cx="2404110" cy="3524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60000"/>
              <a:lumOff val="40000"/>
            </a:schemeClr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>
              <a:solidFill>
                <a:sysClr val="windowText" lastClr="000000"/>
              </a:solidFill>
              <a:latin typeface="Arial Rounded MT Bold" pitchFamily="34" charset="0"/>
            </a:rPr>
            <a:t>CC / QCC</a:t>
          </a:r>
        </a:p>
      </xdr:txBody>
    </xdr:sp>
    <xdr:clientData/>
  </xdr:twoCellAnchor>
  <xdr:twoCellAnchor>
    <xdr:from>
      <xdr:col>12</xdr:col>
      <xdr:colOff>30480</xdr:colOff>
      <xdr:row>0</xdr:row>
      <xdr:rowOff>7620</xdr:rowOff>
    </xdr:from>
    <xdr:to>
      <xdr:col>13</xdr:col>
      <xdr:colOff>1539240</xdr:colOff>
      <xdr:row>1</xdr:row>
      <xdr:rowOff>169545</xdr:rowOff>
    </xdr:to>
    <xdr:sp macro="[0]!Pro" textlink="">
      <xdr:nvSpPr>
        <xdr:cNvPr id="7" name="Rectangle 6"/>
        <xdr:cNvSpPr/>
      </xdr:nvSpPr>
      <xdr:spPr>
        <a:xfrm>
          <a:off x="14234160" y="7620"/>
          <a:ext cx="2194560" cy="344805"/>
        </a:xfrm>
        <a:prstGeom prst="rect">
          <a:avLst/>
        </a:prstGeom>
        <a:solidFill>
          <a:srgbClr val="B45608"/>
        </a:solidFill>
        <a:ln>
          <a:solidFill>
            <a:srgbClr val="B45608"/>
          </a:solidFill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>
                  <a:lumMod val="95000"/>
                  <a:lumOff val="5000"/>
                </a:schemeClr>
              </a:solidFill>
            </a:rPr>
            <a:t>New</a:t>
          </a:r>
        </a:p>
      </xdr:txBody>
    </xdr:sp>
    <xdr:clientData/>
  </xdr:twoCellAnchor>
  <xdr:twoCellAnchor>
    <xdr:from>
      <xdr:col>13</xdr:col>
      <xdr:colOff>1577340</xdr:colOff>
      <xdr:row>0</xdr:row>
      <xdr:rowOff>22860</xdr:rowOff>
    </xdr:from>
    <xdr:to>
      <xdr:col>16</xdr:col>
      <xdr:colOff>327660</xdr:colOff>
      <xdr:row>2</xdr:row>
      <xdr:rowOff>1905</xdr:rowOff>
    </xdr:to>
    <xdr:sp macro="[0]!Ref" textlink="">
      <xdr:nvSpPr>
        <xdr:cNvPr id="8" name="Rectangle 7"/>
        <xdr:cNvSpPr/>
      </xdr:nvSpPr>
      <xdr:spPr>
        <a:xfrm>
          <a:off x="16466820" y="22860"/>
          <a:ext cx="2613660" cy="344805"/>
        </a:xfrm>
        <a:prstGeom prst="rect">
          <a:avLst/>
        </a:prstGeom>
        <a:solidFill>
          <a:srgbClr val="FF99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>
              <a:solidFill>
                <a:sysClr val="windowText" lastClr="000000"/>
              </a:solidFill>
              <a:latin typeface="Arial Rounded MT Bold" pitchFamily="34" charset="0"/>
            </a:rPr>
            <a:t>SUPPLIER</a:t>
          </a:r>
        </a:p>
      </xdr:txBody>
    </xdr:sp>
    <xdr:clientData/>
  </xdr:twoCellAnchor>
  <xdr:twoCellAnchor>
    <xdr:from>
      <xdr:col>21</xdr:col>
      <xdr:colOff>2095500</xdr:colOff>
      <xdr:row>0</xdr:row>
      <xdr:rowOff>22860</xdr:rowOff>
    </xdr:from>
    <xdr:to>
      <xdr:col>21</xdr:col>
      <xdr:colOff>4893944</xdr:colOff>
      <xdr:row>2</xdr:row>
      <xdr:rowOff>1905</xdr:rowOff>
    </xdr:to>
    <xdr:sp macro="[0]!_xludf.Find" textlink="">
      <xdr:nvSpPr>
        <xdr:cNvPr id="9" name="Rectangle 8"/>
        <xdr:cNvSpPr/>
      </xdr:nvSpPr>
      <xdr:spPr>
        <a:xfrm>
          <a:off x="24399240" y="22860"/>
          <a:ext cx="2798444" cy="344805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rgbClr val="B45608"/>
          </a:solidFill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>
                  <a:lumMod val="95000"/>
                  <a:lumOff val="5000"/>
                </a:schemeClr>
              </a:solidFill>
            </a:rPr>
            <a:t>Find</a:t>
          </a:r>
        </a:p>
      </xdr:txBody>
    </xdr:sp>
    <xdr:clientData/>
  </xdr:twoCellAnchor>
  <xdr:twoCellAnchor>
    <xdr:from>
      <xdr:col>16</xdr:col>
      <xdr:colOff>327660</xdr:colOff>
      <xdr:row>0</xdr:row>
      <xdr:rowOff>22860</xdr:rowOff>
    </xdr:from>
    <xdr:to>
      <xdr:col>20</xdr:col>
      <xdr:colOff>160020</xdr:colOff>
      <xdr:row>2</xdr:row>
      <xdr:rowOff>1905</xdr:rowOff>
    </xdr:to>
    <xdr:sp macro="[0]!Forwarder" textlink="">
      <xdr:nvSpPr>
        <xdr:cNvPr id="10" name="Rectangle 9"/>
        <xdr:cNvSpPr/>
      </xdr:nvSpPr>
      <xdr:spPr>
        <a:xfrm>
          <a:off x="19080480" y="22860"/>
          <a:ext cx="2667000" cy="344805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>
          <a:solidFill>
            <a:srgbClr val="FFFF00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>
              <a:solidFill>
                <a:sysClr val="windowText" lastClr="000000"/>
              </a:solidFill>
              <a:latin typeface="Arial Rounded MT Bold" pitchFamily="34" charset="0"/>
            </a:rPr>
            <a:t>Forwarder</a:t>
          </a:r>
        </a:p>
      </xdr:txBody>
    </xdr:sp>
    <xdr:clientData/>
  </xdr:twoCellAnchor>
  <xdr:twoCellAnchor>
    <xdr:from>
      <xdr:col>20</xdr:col>
      <xdr:colOff>190500</xdr:colOff>
      <xdr:row>0</xdr:row>
      <xdr:rowOff>22860</xdr:rowOff>
    </xdr:from>
    <xdr:to>
      <xdr:col>21</xdr:col>
      <xdr:colOff>2065020</xdr:colOff>
      <xdr:row>2</xdr:row>
      <xdr:rowOff>1905</xdr:rowOff>
    </xdr:to>
    <xdr:sp macro="[0]!CCQCC" textlink="">
      <xdr:nvSpPr>
        <xdr:cNvPr id="13" name="Rectangle 12"/>
        <xdr:cNvSpPr/>
      </xdr:nvSpPr>
      <xdr:spPr>
        <a:xfrm>
          <a:off x="21777960" y="22860"/>
          <a:ext cx="2590800" cy="34480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60000"/>
              <a:lumOff val="40000"/>
            </a:schemeClr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>
              <a:solidFill>
                <a:sysClr val="windowText" lastClr="000000"/>
              </a:solidFill>
              <a:latin typeface="Arial Rounded MT Bold" pitchFamily="34" charset="0"/>
            </a:rPr>
            <a:t>CC / QCC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25</xdr:col>
      <xdr:colOff>205740</xdr:colOff>
      <xdr:row>1</xdr:row>
      <xdr:rowOff>161925</xdr:rowOff>
    </xdr:to>
    <xdr:sp macro="[0]!Pro" textlink="">
      <xdr:nvSpPr>
        <xdr:cNvPr id="14" name="Rectangle 13"/>
        <xdr:cNvSpPr/>
      </xdr:nvSpPr>
      <xdr:spPr>
        <a:xfrm>
          <a:off x="27211020" y="0"/>
          <a:ext cx="2255520" cy="344805"/>
        </a:xfrm>
        <a:prstGeom prst="rect">
          <a:avLst/>
        </a:prstGeom>
        <a:solidFill>
          <a:srgbClr val="B45608"/>
        </a:solidFill>
        <a:ln>
          <a:solidFill>
            <a:srgbClr val="B45608"/>
          </a:solidFill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>
                  <a:lumMod val="95000"/>
                  <a:lumOff val="5000"/>
                </a:schemeClr>
              </a:solidFill>
            </a:rPr>
            <a:t>New</a:t>
          </a:r>
        </a:p>
      </xdr:txBody>
    </xdr:sp>
    <xdr:clientData/>
  </xdr:twoCellAnchor>
  <xdr:twoCellAnchor>
    <xdr:from>
      <xdr:col>25</xdr:col>
      <xdr:colOff>220980</xdr:colOff>
      <xdr:row>0</xdr:row>
      <xdr:rowOff>0</xdr:rowOff>
    </xdr:from>
    <xdr:to>
      <xdr:col>29</xdr:col>
      <xdr:colOff>106680</xdr:colOff>
      <xdr:row>1</xdr:row>
      <xdr:rowOff>161925</xdr:rowOff>
    </xdr:to>
    <xdr:sp macro="[0]!Ref" textlink="">
      <xdr:nvSpPr>
        <xdr:cNvPr id="15" name="Rectangle 14"/>
        <xdr:cNvSpPr/>
      </xdr:nvSpPr>
      <xdr:spPr>
        <a:xfrm>
          <a:off x="29481780" y="0"/>
          <a:ext cx="2613660" cy="344805"/>
        </a:xfrm>
        <a:prstGeom prst="rect">
          <a:avLst/>
        </a:prstGeom>
        <a:solidFill>
          <a:srgbClr val="FF99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>
              <a:solidFill>
                <a:sysClr val="windowText" lastClr="000000"/>
              </a:solidFill>
              <a:latin typeface="Arial Rounded MT Bold" pitchFamily="34" charset="0"/>
            </a:rPr>
            <a:t>SUPPLIER</a:t>
          </a:r>
        </a:p>
      </xdr:txBody>
    </xdr:sp>
    <xdr:clientData/>
  </xdr:twoCellAnchor>
  <xdr:twoCellAnchor>
    <xdr:from>
      <xdr:col>30</xdr:col>
      <xdr:colOff>3352800</xdr:colOff>
      <xdr:row>0</xdr:row>
      <xdr:rowOff>0</xdr:rowOff>
    </xdr:from>
    <xdr:to>
      <xdr:col>34</xdr:col>
      <xdr:colOff>1904</xdr:colOff>
      <xdr:row>1</xdr:row>
      <xdr:rowOff>161925</xdr:rowOff>
    </xdr:to>
    <xdr:sp macro="[0]!_xludf.Find" textlink="">
      <xdr:nvSpPr>
        <xdr:cNvPr id="16" name="Rectangle 15"/>
        <xdr:cNvSpPr/>
      </xdr:nvSpPr>
      <xdr:spPr>
        <a:xfrm>
          <a:off x="37414200" y="0"/>
          <a:ext cx="2798444" cy="344805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rgbClr val="B45608"/>
          </a:solidFill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>
                  <a:lumMod val="95000"/>
                  <a:lumOff val="5000"/>
                </a:schemeClr>
              </a:solidFill>
            </a:rPr>
            <a:t>Find</a:t>
          </a:r>
        </a:p>
      </xdr:txBody>
    </xdr:sp>
    <xdr:clientData/>
  </xdr:twoCellAnchor>
  <xdr:twoCellAnchor>
    <xdr:from>
      <xdr:col>29</xdr:col>
      <xdr:colOff>106680</xdr:colOff>
      <xdr:row>0</xdr:row>
      <xdr:rowOff>0</xdr:rowOff>
    </xdr:from>
    <xdr:to>
      <xdr:col>30</xdr:col>
      <xdr:colOff>701040</xdr:colOff>
      <xdr:row>1</xdr:row>
      <xdr:rowOff>161925</xdr:rowOff>
    </xdr:to>
    <xdr:sp macro="[0]!Forwarder" textlink="">
      <xdr:nvSpPr>
        <xdr:cNvPr id="17" name="Rectangle 16"/>
        <xdr:cNvSpPr/>
      </xdr:nvSpPr>
      <xdr:spPr>
        <a:xfrm>
          <a:off x="32095440" y="0"/>
          <a:ext cx="2667000" cy="344805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>
          <a:solidFill>
            <a:srgbClr val="FFFF00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>
              <a:solidFill>
                <a:sysClr val="windowText" lastClr="000000"/>
              </a:solidFill>
              <a:latin typeface="Arial Rounded MT Bold" pitchFamily="34" charset="0"/>
            </a:rPr>
            <a:t>Forwarder</a:t>
          </a:r>
        </a:p>
      </xdr:txBody>
    </xdr:sp>
    <xdr:clientData/>
  </xdr:twoCellAnchor>
  <xdr:twoCellAnchor>
    <xdr:from>
      <xdr:col>30</xdr:col>
      <xdr:colOff>731520</xdr:colOff>
      <xdr:row>0</xdr:row>
      <xdr:rowOff>0</xdr:rowOff>
    </xdr:from>
    <xdr:to>
      <xdr:col>30</xdr:col>
      <xdr:colOff>3322320</xdr:colOff>
      <xdr:row>1</xdr:row>
      <xdr:rowOff>161925</xdr:rowOff>
    </xdr:to>
    <xdr:sp macro="[0]!CCQCC" textlink="">
      <xdr:nvSpPr>
        <xdr:cNvPr id="18" name="Rectangle 17"/>
        <xdr:cNvSpPr/>
      </xdr:nvSpPr>
      <xdr:spPr>
        <a:xfrm>
          <a:off x="34792920" y="0"/>
          <a:ext cx="2590800" cy="34480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60000"/>
              <a:lumOff val="40000"/>
            </a:schemeClr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>
              <a:solidFill>
                <a:sysClr val="windowText" lastClr="000000"/>
              </a:solidFill>
              <a:latin typeface="Arial Rounded MT Bold" pitchFamily="34" charset="0"/>
            </a:rPr>
            <a:t>CC / QCC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H22"/>
  <sheetViews>
    <sheetView tabSelected="1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20" sqref="B20 T20"/>
    </sheetView>
  </sheetViews>
  <sheetFormatPr defaultColWidth="8.85546875" defaultRowHeight="15" x14ac:dyDescent="0.25"/>
  <cols>
    <col min="1" max="1" width="6.28515625" style="4" bestFit="1" customWidth="1"/>
    <col min="2" max="3" width="10.5703125" style="4" customWidth="1"/>
    <col min="4" max="4" width="26.28515625" style="4" customWidth="1"/>
    <col min="5" max="5" width="7.7109375" style="4" customWidth="1"/>
    <col min="6" max="6" width="25.140625" style="4" customWidth="1"/>
    <col min="7" max="7" width="13.28515625" style="4" customWidth="1"/>
    <col min="8" max="8" width="8.7109375" style="4" customWidth="1"/>
    <col min="9" max="9" width="13.85546875" style="4" customWidth="1"/>
    <col min="10" max="10" width="12" style="4" customWidth="1"/>
    <col min="11" max="11" width="9.42578125" style="4" customWidth="1"/>
    <col min="12" max="12" width="55" style="4" customWidth="1"/>
    <col min="13" max="13" width="10" style="4" bestFit="1" customWidth="1"/>
    <col min="14" max="14" width="23.5703125" style="4" customWidth="1"/>
    <col min="15" max="15" width="17.7109375" style="4" customWidth="1"/>
    <col min="16" max="16" width="15.140625" style="4" customWidth="1"/>
    <col min="17" max="17" width="9.7109375" style="4" customWidth="1"/>
    <col min="18" max="20" width="10.5703125" style="4" bestFit="1" customWidth="1"/>
    <col min="21" max="21" width="10.42578125" style="4" bestFit="1" customWidth="1"/>
    <col min="22" max="22" width="63.7109375" style="4" customWidth="1"/>
    <col min="23" max="24" width="8.85546875" style="4"/>
    <col min="25" max="25" width="12.140625" style="4" bestFit="1" customWidth="1"/>
    <col min="26" max="27" width="8.85546875" style="4"/>
    <col min="28" max="28" width="10" style="4" bestFit="1" customWidth="1"/>
    <col min="29" max="29" width="12" style="4" customWidth="1"/>
    <col min="30" max="30" width="9.28515625" style="4" customWidth="1"/>
    <col min="31" max="31" width="62.5703125" style="4" customWidth="1"/>
    <col min="32" max="32" width="14.42578125" style="4" customWidth="1"/>
    <col min="33" max="33" width="12.5703125" style="4" customWidth="1"/>
    <col min="34" max="34" width="14.28515625" style="4" customWidth="1"/>
    <col min="35" max="16384" width="8.85546875" style="4"/>
  </cols>
  <sheetData>
    <row r="1" spans="1:34" x14ac:dyDescent="0.25">
      <c r="A1" s="3">
        <v>42852</v>
      </c>
    </row>
    <row r="3" spans="1:34" ht="15" customHeight="1" x14ac:dyDescent="0.25">
      <c r="A3" s="23" t="s">
        <v>0</v>
      </c>
      <c r="B3" s="1"/>
      <c r="C3" s="23" t="s">
        <v>1</v>
      </c>
      <c r="D3" s="23" t="s">
        <v>2</v>
      </c>
      <c r="E3" s="24" t="s">
        <v>12</v>
      </c>
      <c r="F3" s="23" t="s">
        <v>3</v>
      </c>
      <c r="G3" s="26" t="s">
        <v>13</v>
      </c>
      <c r="H3" s="24" t="s">
        <v>15</v>
      </c>
      <c r="I3" s="24" t="s">
        <v>14</v>
      </c>
      <c r="J3" s="23" t="s">
        <v>4</v>
      </c>
      <c r="K3" s="22" t="s">
        <v>5</v>
      </c>
      <c r="L3" s="22" t="s">
        <v>6</v>
      </c>
      <c r="M3" s="28" t="s">
        <v>8</v>
      </c>
      <c r="N3" s="28" t="s">
        <v>9</v>
      </c>
      <c r="O3" s="29" t="s">
        <v>16</v>
      </c>
      <c r="P3" s="29" t="s">
        <v>17</v>
      </c>
      <c r="Q3" s="29" t="s">
        <v>19</v>
      </c>
      <c r="R3" s="29" t="s">
        <v>20</v>
      </c>
      <c r="S3" s="29" t="s">
        <v>10</v>
      </c>
      <c r="T3" s="29" t="s">
        <v>11</v>
      </c>
      <c r="U3" s="29" t="s">
        <v>18</v>
      </c>
      <c r="V3" s="29" t="s">
        <v>6</v>
      </c>
      <c r="W3" s="21" t="s">
        <v>26</v>
      </c>
      <c r="X3" s="21" t="s">
        <v>27</v>
      </c>
      <c r="Y3" s="21" t="s">
        <v>25</v>
      </c>
      <c r="Z3" s="20" t="s">
        <v>28</v>
      </c>
      <c r="AA3" s="21" t="s">
        <v>29</v>
      </c>
      <c r="AB3" s="21" t="s">
        <v>30</v>
      </c>
      <c r="AC3" s="20" t="s">
        <v>31</v>
      </c>
      <c r="AD3" s="20" t="s">
        <v>32</v>
      </c>
      <c r="AE3" s="20" t="s">
        <v>6</v>
      </c>
      <c r="AF3" s="19" t="s">
        <v>33</v>
      </c>
      <c r="AG3" s="19" t="s">
        <v>71</v>
      </c>
      <c r="AH3" s="19" t="s">
        <v>34</v>
      </c>
    </row>
    <row r="4" spans="1:34" x14ac:dyDescent="0.25">
      <c r="A4" s="23"/>
      <c r="B4" s="2" t="s">
        <v>7</v>
      </c>
      <c r="C4" s="23"/>
      <c r="D4" s="23"/>
      <c r="E4" s="25"/>
      <c r="F4" s="23"/>
      <c r="G4" s="27"/>
      <c r="H4" s="25"/>
      <c r="I4" s="25"/>
      <c r="J4" s="23"/>
      <c r="K4" s="22"/>
      <c r="L4" s="22"/>
      <c r="M4" s="28"/>
      <c r="N4" s="28"/>
      <c r="O4" s="29"/>
      <c r="P4" s="29"/>
      <c r="Q4" s="29"/>
      <c r="R4" s="29"/>
      <c r="S4" s="29"/>
      <c r="T4" s="29"/>
      <c r="U4" s="29"/>
      <c r="V4" s="29"/>
      <c r="W4" s="21"/>
      <c r="X4" s="21"/>
      <c r="Y4" s="21"/>
      <c r="Z4" s="20"/>
      <c r="AA4" s="21"/>
      <c r="AB4" s="21"/>
      <c r="AC4" s="20"/>
      <c r="AD4" s="20"/>
      <c r="AE4" s="20"/>
      <c r="AF4" s="19"/>
      <c r="AG4" s="19"/>
      <c r="AH4" s="19"/>
    </row>
    <row r="5" spans="1:34" x14ac:dyDescent="0.25">
      <c r="A5" s="7">
        <v>1</v>
      </c>
      <c r="B5" s="8">
        <v>17000256</v>
      </c>
      <c r="C5" s="5">
        <v>1700044</v>
      </c>
      <c r="D5" s="5" t="s">
        <v>21</v>
      </c>
      <c r="E5" s="5">
        <v>50804</v>
      </c>
      <c r="F5" s="5" t="s">
        <v>23</v>
      </c>
      <c r="G5" s="5" t="s">
        <v>22</v>
      </c>
      <c r="H5" s="17">
        <v>125</v>
      </c>
      <c r="I5" s="5">
        <v>1000</v>
      </c>
      <c r="J5" s="9">
        <v>42850</v>
      </c>
      <c r="K5" s="5" t="s">
        <v>24</v>
      </c>
      <c r="L5" s="5" t="s">
        <v>35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5"/>
    </row>
    <row r="6" spans="1:34" x14ac:dyDescent="0.25">
      <c r="A6" s="13">
        <v>2</v>
      </c>
      <c r="B6" s="8">
        <v>17000290</v>
      </c>
      <c r="C6" s="5">
        <v>17000090</v>
      </c>
      <c r="D6" s="5" t="s">
        <v>21</v>
      </c>
      <c r="E6" s="5">
        <v>52412</v>
      </c>
      <c r="F6" s="5" t="s">
        <v>36</v>
      </c>
      <c r="G6" s="5" t="s">
        <v>22</v>
      </c>
      <c r="H6" s="17">
        <v>90</v>
      </c>
      <c r="I6" s="5">
        <v>500</v>
      </c>
      <c r="J6" s="15">
        <f ca="1">TODAY()</f>
        <v>42849</v>
      </c>
      <c r="K6" s="5" t="s">
        <v>58</v>
      </c>
      <c r="L6" s="5" t="s">
        <v>37</v>
      </c>
      <c r="M6" s="10">
        <v>51204</v>
      </c>
      <c r="N6" s="10" t="s">
        <v>59</v>
      </c>
      <c r="O6" s="10" t="s">
        <v>41</v>
      </c>
      <c r="P6" s="10" t="s">
        <v>60</v>
      </c>
      <c r="Q6" s="10">
        <v>11111</v>
      </c>
      <c r="R6" s="11">
        <v>42819</v>
      </c>
      <c r="S6" s="11">
        <v>42845</v>
      </c>
      <c r="T6" s="9">
        <v>42850</v>
      </c>
      <c r="U6" s="10" t="s">
        <v>24</v>
      </c>
      <c r="V6" s="10" t="s">
        <v>61</v>
      </c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5"/>
    </row>
    <row r="7" spans="1:34" x14ac:dyDescent="0.25">
      <c r="A7" s="13">
        <v>3</v>
      </c>
      <c r="B7" s="14">
        <v>17000298</v>
      </c>
      <c r="C7" s="5">
        <v>17000190</v>
      </c>
      <c r="D7" s="5" t="s">
        <v>21</v>
      </c>
      <c r="E7" s="5">
        <v>50380</v>
      </c>
      <c r="F7" s="5" t="s">
        <v>38</v>
      </c>
      <c r="G7" s="5" t="s">
        <v>22</v>
      </c>
      <c r="H7" s="17">
        <v>230</v>
      </c>
      <c r="I7" s="5">
        <v>800</v>
      </c>
      <c r="J7" s="15">
        <f ca="1">TODAY()</f>
        <v>42849</v>
      </c>
      <c r="K7" s="5" t="s">
        <v>58</v>
      </c>
      <c r="L7" s="5" t="s">
        <v>39</v>
      </c>
      <c r="M7" s="10">
        <v>0</v>
      </c>
      <c r="N7" s="10" t="s">
        <v>62</v>
      </c>
      <c r="O7" s="10" t="s">
        <v>63</v>
      </c>
      <c r="P7" s="10" t="s">
        <v>64</v>
      </c>
      <c r="Q7" s="10">
        <v>52105198</v>
      </c>
      <c r="R7" s="11">
        <v>42865</v>
      </c>
      <c r="S7" s="11">
        <v>42861</v>
      </c>
      <c r="T7" s="15">
        <v>42866</v>
      </c>
      <c r="U7" s="10" t="s">
        <v>24</v>
      </c>
      <c r="V7" s="10" t="s">
        <v>65</v>
      </c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5"/>
    </row>
    <row r="8" spans="1:34" x14ac:dyDescent="0.25">
      <c r="A8" s="7">
        <v>4</v>
      </c>
      <c r="B8" s="8">
        <v>17000302</v>
      </c>
      <c r="C8" s="5">
        <v>17000144</v>
      </c>
      <c r="D8" s="5" t="s">
        <v>21</v>
      </c>
      <c r="E8" s="5">
        <v>50908</v>
      </c>
      <c r="F8" s="5" t="s">
        <v>40</v>
      </c>
      <c r="G8" s="5" t="s">
        <v>22</v>
      </c>
      <c r="H8" s="17">
        <v>170</v>
      </c>
      <c r="I8" s="5">
        <v>950</v>
      </c>
      <c r="J8" s="9">
        <v>42853</v>
      </c>
      <c r="K8" s="5" t="s">
        <v>24</v>
      </c>
      <c r="L8" s="5" t="s">
        <v>41</v>
      </c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5"/>
    </row>
    <row r="9" spans="1:34" x14ac:dyDescent="0.25">
      <c r="A9" s="18">
        <v>5</v>
      </c>
      <c r="B9" s="14">
        <v>17000350</v>
      </c>
      <c r="C9" s="5">
        <v>17000355</v>
      </c>
      <c r="D9" s="5" t="s">
        <v>21</v>
      </c>
      <c r="E9" s="5">
        <v>53429</v>
      </c>
      <c r="F9" s="5" t="s">
        <v>42</v>
      </c>
      <c r="G9" s="5" t="s">
        <v>22</v>
      </c>
      <c r="H9" s="17">
        <v>600</v>
      </c>
      <c r="I9" s="5">
        <v>1800</v>
      </c>
      <c r="J9" s="15">
        <v>42849</v>
      </c>
      <c r="K9" s="5" t="s">
        <v>58</v>
      </c>
      <c r="L9" s="5"/>
      <c r="M9" s="10">
        <v>51204</v>
      </c>
      <c r="N9" s="10" t="s">
        <v>59</v>
      </c>
      <c r="O9" s="10" t="s">
        <v>41</v>
      </c>
      <c r="P9" s="10" t="s">
        <v>66</v>
      </c>
      <c r="Q9" s="10">
        <v>5149695</v>
      </c>
      <c r="R9" s="11">
        <v>42853</v>
      </c>
      <c r="S9" s="11">
        <v>42854</v>
      </c>
      <c r="T9" s="15">
        <v>42849</v>
      </c>
      <c r="U9" s="10" t="s">
        <v>58</v>
      </c>
      <c r="V9" s="10" t="s">
        <v>67</v>
      </c>
      <c r="W9" s="10">
        <v>654165</v>
      </c>
      <c r="X9" s="10">
        <v>4654</v>
      </c>
      <c r="Y9" s="10">
        <v>2000</v>
      </c>
      <c r="Z9" s="10"/>
      <c r="AA9" s="10"/>
      <c r="AB9" s="10">
        <v>30</v>
      </c>
      <c r="AC9" s="15">
        <v>42852</v>
      </c>
      <c r="AD9" s="10" t="s">
        <v>58</v>
      </c>
      <c r="AE9" s="10" t="s">
        <v>76</v>
      </c>
      <c r="AF9" s="10"/>
      <c r="AG9" s="10"/>
      <c r="AH9" s="5" t="s">
        <v>91</v>
      </c>
    </row>
    <row r="10" spans="1:34" x14ac:dyDescent="0.25">
      <c r="A10" s="16">
        <v>6</v>
      </c>
      <c r="B10" s="14">
        <v>17000380</v>
      </c>
      <c r="C10" s="5">
        <v>17000126</v>
      </c>
      <c r="D10" s="5" t="s">
        <v>21</v>
      </c>
      <c r="E10" s="5">
        <v>53291</v>
      </c>
      <c r="F10" s="5" t="s">
        <v>43</v>
      </c>
      <c r="G10" s="5" t="s">
        <v>44</v>
      </c>
      <c r="H10" s="17">
        <v>500</v>
      </c>
      <c r="I10" s="5">
        <v>1500</v>
      </c>
      <c r="J10" s="15">
        <v>42848</v>
      </c>
      <c r="K10" s="5" t="s">
        <v>58</v>
      </c>
      <c r="L10" s="5" t="s">
        <v>45</v>
      </c>
      <c r="M10" s="10">
        <v>50005</v>
      </c>
      <c r="N10" s="10" t="s">
        <v>68</v>
      </c>
      <c r="O10" s="10" t="s">
        <v>69</v>
      </c>
      <c r="P10" s="10" t="s">
        <v>70</v>
      </c>
      <c r="Q10" s="10">
        <v>12164</v>
      </c>
      <c r="R10" s="11">
        <v>42861</v>
      </c>
      <c r="S10" s="11">
        <v>42862</v>
      </c>
      <c r="T10" s="15">
        <v>42848</v>
      </c>
      <c r="U10" s="10" t="s">
        <v>58</v>
      </c>
      <c r="V10" s="10" t="s">
        <v>56</v>
      </c>
      <c r="W10" s="10">
        <v>41656</v>
      </c>
      <c r="X10" s="10">
        <v>45656</v>
      </c>
      <c r="Y10" s="10">
        <v>100</v>
      </c>
      <c r="Z10" s="10"/>
      <c r="AA10" s="10"/>
      <c r="AB10" s="10"/>
      <c r="AC10" s="15">
        <v>42865</v>
      </c>
      <c r="AD10" s="10" t="s">
        <v>58</v>
      </c>
      <c r="AE10" s="10" t="s">
        <v>72</v>
      </c>
      <c r="AF10" s="10">
        <v>1745466</v>
      </c>
      <c r="AG10" s="11">
        <v>42854</v>
      </c>
      <c r="AH10" s="5" t="s">
        <v>75</v>
      </c>
    </row>
    <row r="11" spans="1:34" x14ac:dyDescent="0.25">
      <c r="A11" s="16">
        <v>7</v>
      </c>
      <c r="B11" s="14">
        <v>17001600</v>
      </c>
      <c r="C11" s="5">
        <v>17000258</v>
      </c>
      <c r="D11" s="5" t="s">
        <v>21</v>
      </c>
      <c r="E11" s="5">
        <v>52872</v>
      </c>
      <c r="F11" s="5" t="s">
        <v>46</v>
      </c>
      <c r="G11" s="5" t="s">
        <v>47</v>
      </c>
      <c r="H11" s="17">
        <v>300</v>
      </c>
      <c r="I11" s="5">
        <v>900</v>
      </c>
      <c r="J11" s="15">
        <v>42848</v>
      </c>
      <c r="K11" s="5" t="s">
        <v>58</v>
      </c>
      <c r="L11" s="5" t="s">
        <v>48</v>
      </c>
      <c r="M11" s="10">
        <v>51204</v>
      </c>
      <c r="N11" s="10" t="s">
        <v>59</v>
      </c>
      <c r="O11" s="10" t="s">
        <v>73</v>
      </c>
      <c r="P11" s="10" t="s">
        <v>60</v>
      </c>
      <c r="Q11" s="10">
        <v>41654</v>
      </c>
      <c r="R11" s="11">
        <v>42849</v>
      </c>
      <c r="S11" s="11">
        <v>42850</v>
      </c>
      <c r="T11" s="15">
        <v>42848</v>
      </c>
      <c r="U11" s="10" t="s">
        <v>58</v>
      </c>
      <c r="V11" s="10" t="s">
        <v>54</v>
      </c>
      <c r="W11" s="10">
        <v>484</v>
      </c>
      <c r="X11" s="10">
        <v>4594584</v>
      </c>
      <c r="Y11" s="10">
        <v>1800</v>
      </c>
      <c r="Z11" s="10">
        <v>800</v>
      </c>
      <c r="AA11" s="10">
        <v>400</v>
      </c>
      <c r="AB11" s="10">
        <v>200</v>
      </c>
      <c r="AC11" s="15">
        <v>42853</v>
      </c>
      <c r="AD11" s="10" t="s">
        <v>58</v>
      </c>
      <c r="AE11" s="10" t="s">
        <v>74</v>
      </c>
      <c r="AF11" s="10">
        <v>1745466</v>
      </c>
      <c r="AG11" s="11">
        <v>42854</v>
      </c>
      <c r="AH11" s="5" t="s">
        <v>75</v>
      </c>
    </row>
    <row r="12" spans="1:34" x14ac:dyDescent="0.25">
      <c r="A12" s="13">
        <v>8</v>
      </c>
      <c r="B12" s="14">
        <v>17000848</v>
      </c>
      <c r="C12" s="5">
        <v>17000148</v>
      </c>
      <c r="D12" s="5" t="s">
        <v>21</v>
      </c>
      <c r="E12" s="5">
        <v>50551</v>
      </c>
      <c r="F12" s="5" t="s">
        <v>49</v>
      </c>
      <c r="G12" s="5" t="s">
        <v>50</v>
      </c>
      <c r="H12" s="17">
        <v>800</v>
      </c>
      <c r="I12" s="5">
        <v>2500</v>
      </c>
      <c r="J12" s="15">
        <f ca="1">TODAY()</f>
        <v>42849</v>
      </c>
      <c r="K12" s="5" t="s">
        <v>58</v>
      </c>
      <c r="L12" s="5" t="s">
        <v>51</v>
      </c>
      <c r="M12" s="10">
        <v>21054</v>
      </c>
      <c r="N12" s="10" t="s">
        <v>59</v>
      </c>
      <c r="O12" s="10" t="s">
        <v>79</v>
      </c>
      <c r="P12" s="10" t="s">
        <v>66</v>
      </c>
      <c r="Q12" s="10">
        <v>1564980</v>
      </c>
      <c r="R12" s="11">
        <v>42851</v>
      </c>
      <c r="S12" s="11">
        <v>42852</v>
      </c>
      <c r="T12" s="15">
        <v>42855</v>
      </c>
      <c r="U12" s="10" t="s">
        <v>24</v>
      </c>
      <c r="V12" s="10" t="s">
        <v>78</v>
      </c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5"/>
    </row>
    <row r="13" spans="1:34" x14ac:dyDescent="0.25">
      <c r="A13" s="7">
        <v>9</v>
      </c>
      <c r="B13" s="14">
        <v>17001100</v>
      </c>
      <c r="C13" s="5">
        <v>17000278</v>
      </c>
      <c r="D13" s="5" t="s">
        <v>21</v>
      </c>
      <c r="E13" s="5">
        <v>53281</v>
      </c>
      <c r="F13" s="5" t="s">
        <v>52</v>
      </c>
      <c r="G13" s="5" t="s">
        <v>53</v>
      </c>
      <c r="H13" s="17">
        <v>1800</v>
      </c>
      <c r="I13" s="5">
        <v>6000</v>
      </c>
      <c r="J13" s="15">
        <v>42857</v>
      </c>
      <c r="K13" s="5" t="s">
        <v>24</v>
      </c>
      <c r="L13" s="5" t="s">
        <v>54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5"/>
    </row>
    <row r="14" spans="1:34" x14ac:dyDescent="0.25">
      <c r="A14" s="7">
        <v>10</v>
      </c>
      <c r="B14" s="8">
        <v>17000045</v>
      </c>
      <c r="C14" s="5">
        <v>17000004</v>
      </c>
      <c r="D14" s="5" t="s">
        <v>21</v>
      </c>
      <c r="E14" s="5">
        <v>50790</v>
      </c>
      <c r="F14" s="5" t="s">
        <v>55</v>
      </c>
      <c r="G14" s="5" t="s">
        <v>22</v>
      </c>
      <c r="H14" s="17">
        <v>90</v>
      </c>
      <c r="I14" s="5">
        <v>600</v>
      </c>
      <c r="J14" s="9">
        <v>42819</v>
      </c>
      <c r="K14" s="5" t="s">
        <v>24</v>
      </c>
      <c r="L14" s="5" t="s">
        <v>56</v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5"/>
    </row>
    <row r="15" spans="1:34" x14ac:dyDescent="0.25">
      <c r="A15" s="7">
        <v>11</v>
      </c>
      <c r="B15" s="8">
        <v>17000098</v>
      </c>
      <c r="C15" s="5">
        <v>17000009</v>
      </c>
      <c r="D15" s="5" t="s">
        <v>21</v>
      </c>
      <c r="E15" s="5">
        <v>50749</v>
      </c>
      <c r="F15" s="5" t="s">
        <v>57</v>
      </c>
      <c r="G15" s="5" t="s">
        <v>50</v>
      </c>
      <c r="H15" s="17">
        <v>50</v>
      </c>
      <c r="I15" s="5">
        <v>250</v>
      </c>
      <c r="J15" s="9">
        <v>42771</v>
      </c>
      <c r="K15" s="5" t="s">
        <v>24</v>
      </c>
      <c r="L15" s="5" t="s">
        <v>56</v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5"/>
    </row>
    <row r="16" spans="1:34" x14ac:dyDescent="0.25">
      <c r="A16" s="30">
        <v>12</v>
      </c>
      <c r="B16" s="8">
        <v>17000789</v>
      </c>
      <c r="C16" s="5">
        <v>17000123</v>
      </c>
      <c r="D16" s="5" t="s">
        <v>21</v>
      </c>
      <c r="E16" s="5">
        <v>50804</v>
      </c>
      <c r="F16" s="5" t="s">
        <v>77</v>
      </c>
      <c r="G16" s="5" t="s">
        <v>22</v>
      </c>
      <c r="H16" s="5">
        <v>128</v>
      </c>
      <c r="I16" s="5">
        <v>800</v>
      </c>
      <c r="J16" s="15">
        <f ca="1">TODAY()</f>
        <v>42849</v>
      </c>
      <c r="K16" s="5" t="s">
        <v>58</v>
      </c>
      <c r="L16" s="5" t="s">
        <v>78</v>
      </c>
      <c r="M16" s="10">
        <v>5126</v>
      </c>
      <c r="N16" s="10" t="s">
        <v>59</v>
      </c>
      <c r="O16" s="10" t="s">
        <v>88</v>
      </c>
      <c r="P16" s="10" t="s">
        <v>66</v>
      </c>
      <c r="Q16" s="10">
        <v>14598</v>
      </c>
      <c r="R16" s="11">
        <v>42860</v>
      </c>
      <c r="S16" s="11">
        <v>42860</v>
      </c>
      <c r="T16" s="15">
        <f ca="1">TODAY()</f>
        <v>42849</v>
      </c>
      <c r="U16" s="10" t="s">
        <v>58</v>
      </c>
      <c r="V16" s="10" t="s">
        <v>61</v>
      </c>
      <c r="W16" s="10">
        <v>14549</v>
      </c>
      <c r="X16" s="10">
        <v>459</v>
      </c>
      <c r="Y16" s="10">
        <v>789</v>
      </c>
      <c r="Z16" s="10">
        <v>258</v>
      </c>
      <c r="AA16" s="10">
        <v>100</v>
      </c>
      <c r="AB16" s="10">
        <v>50</v>
      </c>
      <c r="AC16" s="9">
        <v>42850</v>
      </c>
      <c r="AD16" s="10" t="s">
        <v>24</v>
      </c>
      <c r="AE16" s="10" t="s">
        <v>61</v>
      </c>
      <c r="AF16" s="10"/>
      <c r="AG16" s="10"/>
      <c r="AH16" s="5"/>
    </row>
    <row r="17" spans="1:34" x14ac:dyDescent="0.25">
      <c r="A17" s="30">
        <v>13</v>
      </c>
      <c r="B17" s="14">
        <v>17000946</v>
      </c>
      <c r="C17" s="5">
        <v>17000149</v>
      </c>
      <c r="D17" s="5" t="s">
        <v>21</v>
      </c>
      <c r="E17" s="5">
        <v>50804</v>
      </c>
      <c r="F17" s="5" t="s">
        <v>80</v>
      </c>
      <c r="G17" s="5" t="s">
        <v>22</v>
      </c>
      <c r="H17" s="5">
        <v>130</v>
      </c>
      <c r="I17" s="5">
        <v>148</v>
      </c>
      <c r="J17" s="15">
        <f ca="1">TODAY()</f>
        <v>42849</v>
      </c>
      <c r="K17" s="5" t="s">
        <v>58</v>
      </c>
      <c r="L17" s="5" t="s">
        <v>81</v>
      </c>
      <c r="M17" s="10">
        <v>15841</v>
      </c>
      <c r="N17" s="10" t="s">
        <v>59</v>
      </c>
      <c r="O17" s="10" t="s">
        <v>41</v>
      </c>
      <c r="P17" s="10" t="s">
        <v>60</v>
      </c>
      <c r="Q17" s="10">
        <v>1549</v>
      </c>
      <c r="R17" s="11">
        <v>42860</v>
      </c>
      <c r="S17" s="11">
        <v>42860</v>
      </c>
      <c r="T17" s="15">
        <f ca="1">TODAY()</f>
        <v>42849</v>
      </c>
      <c r="U17" s="10" t="s">
        <v>58</v>
      </c>
      <c r="V17" s="10" t="s">
        <v>61</v>
      </c>
      <c r="W17" s="10">
        <v>165498</v>
      </c>
      <c r="X17" s="10" t="s">
        <v>89</v>
      </c>
      <c r="Y17" s="10">
        <v>500</v>
      </c>
      <c r="Z17" s="10">
        <v>500</v>
      </c>
      <c r="AA17" s="10">
        <v>500</v>
      </c>
      <c r="AB17" s="10">
        <v>250</v>
      </c>
      <c r="AC17" s="15">
        <v>42860</v>
      </c>
      <c r="AD17" s="10" t="s">
        <v>24</v>
      </c>
      <c r="AE17" s="10" t="s">
        <v>61</v>
      </c>
      <c r="AF17" s="10"/>
      <c r="AG17" s="10"/>
      <c r="AH17" s="5"/>
    </row>
    <row r="18" spans="1:34" x14ac:dyDescent="0.25">
      <c r="A18" s="16">
        <v>14</v>
      </c>
      <c r="B18" s="14">
        <v>17000249</v>
      </c>
      <c r="C18" s="5">
        <v>17000555</v>
      </c>
      <c r="D18" s="5" t="s">
        <v>82</v>
      </c>
      <c r="E18" s="5">
        <v>12345</v>
      </c>
      <c r="F18" s="5" t="s">
        <v>83</v>
      </c>
      <c r="G18" s="5" t="s">
        <v>84</v>
      </c>
      <c r="H18" s="5">
        <v>123</v>
      </c>
      <c r="I18" s="5">
        <v>456</v>
      </c>
      <c r="J18" s="15">
        <v>42849</v>
      </c>
      <c r="K18" s="5" t="s">
        <v>58</v>
      </c>
      <c r="L18" s="5" t="s">
        <v>85</v>
      </c>
      <c r="M18" s="10">
        <v>123456</v>
      </c>
      <c r="N18" s="10" t="s">
        <v>59</v>
      </c>
      <c r="O18" s="10" t="s">
        <v>88</v>
      </c>
      <c r="P18" s="10" t="s">
        <v>66</v>
      </c>
      <c r="Q18" s="10">
        <v>123456</v>
      </c>
      <c r="R18" s="11">
        <v>42851</v>
      </c>
      <c r="S18" s="11">
        <v>42850</v>
      </c>
      <c r="T18" s="15">
        <v>42849</v>
      </c>
      <c r="U18" s="10" t="s">
        <v>58</v>
      </c>
      <c r="V18" s="10" t="s">
        <v>37</v>
      </c>
      <c r="W18" s="10">
        <v>123</v>
      </c>
      <c r="X18" s="10">
        <v>456</v>
      </c>
      <c r="Y18" s="10">
        <v>12</v>
      </c>
      <c r="Z18" s="10">
        <v>34</v>
      </c>
      <c r="AA18" s="10">
        <v>56</v>
      </c>
      <c r="AB18" s="10">
        <v>78</v>
      </c>
      <c r="AC18" s="15">
        <v>42860</v>
      </c>
      <c r="AD18" s="10" t="s">
        <v>58</v>
      </c>
      <c r="AE18" s="10" t="s">
        <v>90</v>
      </c>
      <c r="AF18" s="10">
        <v>17000045</v>
      </c>
      <c r="AG18" s="11">
        <v>42860</v>
      </c>
      <c r="AH18" s="5" t="s">
        <v>75</v>
      </c>
    </row>
    <row r="19" spans="1:34" x14ac:dyDescent="0.25">
      <c r="A19" s="16">
        <v>15</v>
      </c>
      <c r="B19" s="14">
        <v>17000558</v>
      </c>
      <c r="C19" s="5">
        <v>17000235</v>
      </c>
      <c r="D19" s="5" t="s">
        <v>21</v>
      </c>
      <c r="E19" s="5">
        <v>53414</v>
      </c>
      <c r="F19" s="5" t="s">
        <v>83</v>
      </c>
      <c r="G19" s="5" t="s">
        <v>86</v>
      </c>
      <c r="H19" s="5">
        <v>800</v>
      </c>
      <c r="I19" s="5">
        <v>2500</v>
      </c>
      <c r="J19" s="15">
        <v>42849</v>
      </c>
      <c r="K19" s="5" t="s">
        <v>58</v>
      </c>
      <c r="L19" s="5" t="s">
        <v>87</v>
      </c>
      <c r="M19" s="10">
        <v>124158</v>
      </c>
      <c r="N19" s="10" t="s">
        <v>59</v>
      </c>
      <c r="O19" s="10" t="s">
        <v>88</v>
      </c>
      <c r="P19" s="10" t="s">
        <v>64</v>
      </c>
      <c r="Q19" s="10">
        <v>14845</v>
      </c>
      <c r="R19" s="11">
        <v>42860</v>
      </c>
      <c r="S19" s="11">
        <v>42860</v>
      </c>
      <c r="T19" s="15">
        <v>42849</v>
      </c>
      <c r="U19" s="10" t="s">
        <v>58</v>
      </c>
      <c r="V19" s="10" t="s">
        <v>61</v>
      </c>
      <c r="W19" s="10">
        <v>123456</v>
      </c>
      <c r="X19" s="10">
        <v>456789</v>
      </c>
      <c r="Y19" s="10">
        <v>123</v>
      </c>
      <c r="Z19" s="10">
        <v>456</v>
      </c>
      <c r="AA19" s="10">
        <v>789</v>
      </c>
      <c r="AB19" s="10">
        <v>123</v>
      </c>
      <c r="AC19" s="15">
        <v>42860</v>
      </c>
      <c r="AD19" s="10" t="s">
        <v>58</v>
      </c>
      <c r="AE19" s="10" t="s">
        <v>61</v>
      </c>
      <c r="AF19" s="10">
        <v>17000000</v>
      </c>
      <c r="AG19" s="11">
        <v>42860</v>
      </c>
      <c r="AH19" s="5" t="s">
        <v>75</v>
      </c>
    </row>
    <row r="20" spans="1:34" x14ac:dyDescent="0.25">
      <c r="A20" s="13">
        <v>16</v>
      </c>
      <c r="B20" s="8">
        <v>17000123</v>
      </c>
      <c r="C20" s="5">
        <v>17000874</v>
      </c>
      <c r="D20" s="5" t="s">
        <v>21</v>
      </c>
      <c r="E20" s="5">
        <v>50804</v>
      </c>
      <c r="F20" s="5" t="s">
        <v>23</v>
      </c>
      <c r="G20" s="5" t="s">
        <v>22</v>
      </c>
      <c r="H20" s="5">
        <v>700</v>
      </c>
      <c r="I20" s="5">
        <v>750</v>
      </c>
      <c r="J20" s="15">
        <f ca="1">TODAY()</f>
        <v>42849</v>
      </c>
      <c r="K20" s="5" t="s">
        <v>58</v>
      </c>
      <c r="L20" s="5" t="s">
        <v>61</v>
      </c>
      <c r="M20" s="10">
        <v>123</v>
      </c>
      <c r="N20" s="10" t="s">
        <v>59</v>
      </c>
      <c r="O20" s="10" t="s">
        <v>73</v>
      </c>
      <c r="P20" s="10" t="s">
        <v>60</v>
      </c>
      <c r="Q20" s="10">
        <v>18498</v>
      </c>
      <c r="R20" s="11">
        <v>42852</v>
      </c>
      <c r="S20" s="11">
        <v>42852</v>
      </c>
      <c r="T20" s="9">
        <v>42852</v>
      </c>
      <c r="U20" s="10" t="s">
        <v>24</v>
      </c>
      <c r="V20" s="10" t="s">
        <v>61</v>
      </c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5"/>
    </row>
    <row r="21" spans="1:34" x14ac:dyDescent="0.25">
      <c r="A21" s="16">
        <v>17</v>
      </c>
      <c r="B21" s="14">
        <v>17000245</v>
      </c>
      <c r="C21" s="5">
        <v>17000148</v>
      </c>
      <c r="D21" s="5" t="s">
        <v>21</v>
      </c>
      <c r="E21" s="5">
        <v>50804</v>
      </c>
      <c r="F21" s="5" t="s">
        <v>23</v>
      </c>
      <c r="G21" s="5" t="s">
        <v>22</v>
      </c>
      <c r="H21" s="5">
        <v>210</v>
      </c>
      <c r="I21" s="5">
        <v>480</v>
      </c>
      <c r="J21" s="15">
        <v>42849</v>
      </c>
      <c r="K21" s="5" t="s">
        <v>58</v>
      </c>
      <c r="L21" s="5" t="s">
        <v>61</v>
      </c>
      <c r="M21" s="10">
        <v>123</v>
      </c>
      <c r="N21" s="10" t="s">
        <v>62</v>
      </c>
      <c r="O21" s="10" t="s">
        <v>63</v>
      </c>
      <c r="P21" s="10" t="s">
        <v>64</v>
      </c>
      <c r="Q21" s="10">
        <v>123</v>
      </c>
      <c r="R21" s="11">
        <v>42852</v>
      </c>
      <c r="S21" s="11">
        <v>42852</v>
      </c>
      <c r="T21" s="15">
        <v>42849</v>
      </c>
      <c r="U21" s="10" t="s">
        <v>58</v>
      </c>
      <c r="V21" s="10" t="s">
        <v>61</v>
      </c>
      <c r="W21" s="10">
        <v>123</v>
      </c>
      <c r="X21" s="10">
        <v>456</v>
      </c>
      <c r="Y21" s="10">
        <v>7</v>
      </c>
      <c r="Z21" s="10">
        <v>8</v>
      </c>
      <c r="AA21" s="10">
        <v>9</v>
      </c>
      <c r="AB21" s="10">
        <v>10</v>
      </c>
      <c r="AC21" s="15">
        <f ca="1">TODAY()</f>
        <v>42849</v>
      </c>
      <c r="AD21" s="10" t="s">
        <v>58</v>
      </c>
      <c r="AE21" s="10" t="s">
        <v>61</v>
      </c>
      <c r="AF21" s="10">
        <v>17000045</v>
      </c>
      <c r="AG21" s="11">
        <v>42852</v>
      </c>
      <c r="AH21" s="5" t="s">
        <v>75</v>
      </c>
    </row>
    <row r="22" spans="1:34" x14ac:dyDescent="0.25">
      <c r="A22" s="16">
        <v>18</v>
      </c>
      <c r="B22" s="14">
        <v>17001400</v>
      </c>
      <c r="C22" s="5">
        <v>17000014</v>
      </c>
      <c r="D22" s="5" t="s">
        <v>21</v>
      </c>
      <c r="E22" s="5">
        <v>50408</v>
      </c>
      <c r="F22" s="5" t="s">
        <v>23</v>
      </c>
      <c r="G22" s="5" t="s">
        <v>22</v>
      </c>
      <c r="H22" s="5">
        <v>520</v>
      </c>
      <c r="I22" s="5">
        <v>1798</v>
      </c>
      <c r="J22" s="15">
        <v>42849</v>
      </c>
      <c r="K22" s="5" t="s">
        <v>58</v>
      </c>
      <c r="L22" s="5" t="s">
        <v>61</v>
      </c>
      <c r="M22" s="10">
        <v>123</v>
      </c>
      <c r="N22" s="10" t="s">
        <v>59</v>
      </c>
      <c r="O22" s="10" t="s">
        <v>79</v>
      </c>
      <c r="P22" s="10" t="s">
        <v>66</v>
      </c>
      <c r="Q22" s="10">
        <v>123456</v>
      </c>
      <c r="R22" s="11">
        <v>42852</v>
      </c>
      <c r="S22" s="11">
        <v>42852</v>
      </c>
      <c r="T22" s="15">
        <v>42849</v>
      </c>
      <c r="U22" s="10" t="s">
        <v>58</v>
      </c>
      <c r="V22" s="10" t="s">
        <v>61</v>
      </c>
      <c r="W22" s="10">
        <v>123</v>
      </c>
      <c r="X22" s="10">
        <v>456</v>
      </c>
      <c r="Y22" s="10">
        <v>789</v>
      </c>
      <c r="Z22" s="10">
        <v>456</v>
      </c>
      <c r="AA22" s="10">
        <v>123</v>
      </c>
      <c r="AB22" s="10">
        <v>0</v>
      </c>
      <c r="AC22" s="15">
        <v>42852</v>
      </c>
      <c r="AD22" s="10" t="s">
        <v>58</v>
      </c>
      <c r="AE22" s="10" t="s">
        <v>61</v>
      </c>
      <c r="AF22" s="10">
        <v>17001200</v>
      </c>
      <c r="AG22" s="11">
        <v>42852</v>
      </c>
      <c r="AH22" s="5" t="s">
        <v>75</v>
      </c>
    </row>
  </sheetData>
  <sheetProtection sheet="1" objects="1" scenarios="1"/>
  <dataConsolidate/>
  <customSheetViews>
    <customSheetView guid="{3F2C4E56-857C-4306-9A0F-8C914DE30806}" scale="63" fitToPage="1">
      <selection activeCell="I12" sqref="I12"/>
      <pageMargins left="0.7" right="0.7" top="0.75" bottom="0.75" header="0.3" footer="0.3"/>
      <pageSetup paperSize="8" scale="33" fitToHeight="0" orientation="landscape" r:id="rId1"/>
    </customSheetView>
  </customSheetViews>
  <mergeCells count="33">
    <mergeCell ref="V3:V4"/>
    <mergeCell ref="S3:S4"/>
    <mergeCell ref="T3:T4"/>
    <mergeCell ref="U3:U4"/>
    <mergeCell ref="Q3:Q4"/>
    <mergeCell ref="R3:R4"/>
    <mergeCell ref="AB3:AB4"/>
    <mergeCell ref="L3:L4"/>
    <mergeCell ref="F3:F4"/>
    <mergeCell ref="A3:A4"/>
    <mergeCell ref="C3:C4"/>
    <mergeCell ref="D3:D4"/>
    <mergeCell ref="J3:J4"/>
    <mergeCell ref="K3:K4"/>
    <mergeCell ref="H3:H4"/>
    <mergeCell ref="I3:I4"/>
    <mergeCell ref="E3:E4"/>
    <mergeCell ref="G3:G4"/>
    <mergeCell ref="M3:M4"/>
    <mergeCell ref="N3:N4"/>
    <mergeCell ref="O3:O4"/>
    <mergeCell ref="P3:P4"/>
    <mergeCell ref="W3:W4"/>
    <mergeCell ref="X3:X4"/>
    <mergeCell ref="Y3:Y4"/>
    <mergeCell ref="Z3:Z4"/>
    <mergeCell ref="AA3:AA4"/>
    <mergeCell ref="AH3:AH4"/>
    <mergeCell ref="AC3:AC4"/>
    <mergeCell ref="AD3:AD4"/>
    <mergeCell ref="AF3:AF4"/>
    <mergeCell ref="AE3:AE4"/>
    <mergeCell ref="AG3:AG4"/>
  </mergeCells>
  <pageMargins left="0.7" right="0.7" top="0.75" bottom="0.75" header="0.3" footer="0.3"/>
  <pageSetup paperSize="8" scale="33" fitToHeight="0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Mohammed Ali Alajaji</cp:lastModifiedBy>
  <cp:lastPrinted>2017-04-09T20:18:34Z</cp:lastPrinted>
  <dcterms:created xsi:type="dcterms:W3CDTF">2017-03-25T19:44:07Z</dcterms:created>
  <dcterms:modified xsi:type="dcterms:W3CDTF">2017-04-24T10:49:35Z</dcterms:modified>
</cp:coreProperties>
</file>